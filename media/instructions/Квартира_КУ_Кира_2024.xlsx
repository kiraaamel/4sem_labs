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kiraaamel/Desktop/"/>
    </mc:Choice>
  </mc:AlternateContent>
  <xr:revisionPtr revIDLastSave="0" documentId="13_ncr:1_{879E1014-6BF0-844F-9126-C5165438ABD0}" xr6:coauthVersionLast="47" xr6:coauthVersionMax="47" xr10:uidLastSave="{00000000-0000-0000-0000-000000000000}"/>
  <bookViews>
    <workbookView xWindow="0" yWindow="6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" i="1" l="1"/>
  <c r="AL4" i="1"/>
  <c r="AM4" i="1"/>
  <c r="AM3" i="1"/>
  <c r="AM2" i="1"/>
  <c r="AK4" i="1"/>
  <c r="AK5" i="1"/>
  <c r="AK2" i="1"/>
  <c r="AK6" i="1"/>
  <c r="AK3" i="1"/>
  <c r="AJ4" i="1"/>
  <c r="AI4" i="1"/>
  <c r="AI5" i="1"/>
  <c r="AH4" i="1"/>
  <c r="AI3" i="1"/>
  <c r="AI6" i="1" s="1"/>
  <c r="AI2" i="1"/>
  <c r="AG2" i="1"/>
  <c r="AG3" i="1"/>
  <c r="AG4" i="1"/>
  <c r="AG5" i="1"/>
  <c r="AG6" i="1"/>
  <c r="AF4" i="1"/>
  <c r="AE5" i="1"/>
  <c r="AD4" i="1"/>
  <c r="AE4" i="1" s="1"/>
  <c r="AE6" i="1" s="1"/>
  <c r="AE3" i="1"/>
  <c r="AE2" i="1"/>
  <c r="AB4" i="1"/>
  <c r="AC4" i="1"/>
  <c r="Z4" i="1"/>
  <c r="AC5" i="1"/>
  <c r="AC3" i="1"/>
  <c r="AC2" i="1"/>
  <c r="AA4" i="1"/>
  <c r="AA5" i="1"/>
  <c r="AA3" i="1"/>
  <c r="AA2" i="1"/>
  <c r="Y5" i="1"/>
  <c r="Y4" i="1"/>
  <c r="Y3" i="1"/>
  <c r="Y2" i="1"/>
  <c r="X4" i="1"/>
  <c r="V4" i="1"/>
  <c r="W2" i="1"/>
  <c r="U3" i="1"/>
  <c r="U2" i="1"/>
  <c r="W4" i="1"/>
  <c r="W5" i="1"/>
  <c r="W3" i="1"/>
  <c r="U6" i="1"/>
  <c r="U5" i="1"/>
  <c r="S5" i="1"/>
  <c r="S4" i="1"/>
  <c r="T4" i="1"/>
  <c r="U4" i="1" s="1"/>
  <c r="R4" i="1"/>
  <c r="S3" i="1"/>
  <c r="S2" i="1"/>
  <c r="Q2" i="1"/>
  <c r="Q5" i="1"/>
  <c r="Q3" i="1"/>
  <c r="P4" i="1"/>
  <c r="Q4" i="1" s="1"/>
  <c r="M5" i="1"/>
  <c r="M3" i="1"/>
  <c r="O2" i="1"/>
  <c r="O3" i="1"/>
  <c r="O4" i="1"/>
  <c r="O5" i="1"/>
  <c r="K4" i="1"/>
  <c r="M2" i="1"/>
  <c r="K5" i="1"/>
  <c r="K3" i="1"/>
  <c r="K2" i="1"/>
  <c r="I2" i="1"/>
  <c r="G2" i="1"/>
  <c r="N4" i="1"/>
  <c r="L4" i="1"/>
  <c r="M4" i="1" s="1"/>
  <c r="J4" i="1"/>
  <c r="I6" i="1"/>
  <c r="G4" i="1"/>
  <c r="E4" i="1"/>
  <c r="I3" i="1"/>
  <c r="I4" i="1"/>
  <c r="I5" i="1"/>
  <c r="G6" i="1"/>
  <c r="F4" i="1"/>
  <c r="H4" i="1"/>
  <c r="G5" i="1"/>
  <c r="G3" i="1"/>
  <c r="AM6" i="1" l="1"/>
  <c r="AC6" i="1"/>
  <c r="AA6" i="1"/>
  <c r="Y6" i="1"/>
  <c r="W6" i="1"/>
  <c r="S6" i="1"/>
  <c r="Q6" i="1"/>
  <c r="K6" i="1"/>
  <c r="O6" i="1"/>
  <c r="M6" i="1"/>
  <c r="E5" i="1"/>
  <c r="D4" i="1"/>
  <c r="E3" i="1"/>
  <c r="E2" i="1"/>
  <c r="E6" i="1" l="1"/>
</calcChain>
</file>

<file path=xl/sharedStrings.xml><?xml version="1.0" encoding="utf-8"?>
<sst xmlns="http://schemas.openxmlformats.org/spreadsheetml/2006/main" count="26" uniqueCount="9">
  <si>
    <t>вид услуги</t>
  </si>
  <si>
    <t>тариф (Руб)</t>
  </si>
  <si>
    <t>к оплате</t>
  </si>
  <si>
    <t>ГВС</t>
  </si>
  <si>
    <t>ХВС</t>
  </si>
  <si>
    <t>Водоотведение</t>
  </si>
  <si>
    <t>Электроэнергия</t>
  </si>
  <si>
    <t>Итого</t>
  </si>
  <si>
    <t>показания счетчика на начало периода (28.08)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</si>
</sst>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5" xfId="0" applyBorder="1" applyAlignment="1">
      <alignment horizontal="center"/>
    </xf>
    <xf numFmtId="2" fontId="0" fillId="0" borderId="4" xfId="0" applyNumberFormat="1" applyBorder="1"/>
    <xf numFmtId="2" fontId="0" fillId="0" borderId="6" xfId="0" applyNumberFormat="1" applyBorder="1"/>
    <xf numFmtId="16" fontId="0" fillId="0" borderId="2" xfId="0" applyNumberForma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16" fontId="0" fillId="2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" fontId="0" fillId="2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0" fontId="0" fillId="0" borderId="16" xfId="0" applyBorder="1"/>
    <xf numFmtId="2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0" fontId="0" fillId="0" borderId="22" xfId="0" applyBorder="1" applyAlignment="1">
      <alignment horizontal="center"/>
    </xf>
    <xf numFmtId="0" fontId="0" fillId="4" borderId="22" xfId="0" applyFill="1" applyBorder="1"/>
    <xf numFmtId="0" fontId="0" fillId="0" borderId="26" xfId="0" applyBorder="1"/>
    <xf numFmtId="0" fontId="0" fillId="0" borderId="22" xfId="0" applyBorder="1"/>
    <xf numFmtId="0" fontId="0" fillId="4" borderId="27" xfId="0" applyFill="1" applyBorder="1"/>
    <xf numFmtId="2" fontId="0" fillId="0" borderId="28" xfId="0" applyNumberFormat="1" applyBorder="1"/>
    <xf numFmtId="0" fontId="0" fillId="0" borderId="27" xfId="0" applyBorder="1"/>
    <xf numFmtId="16" fontId="0" fillId="2" borderId="29" xfId="0" applyNumberFormat="1" applyFill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 wrapText="1"/>
    </xf>
    <xf numFmtId="16" fontId="0" fillId="2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/>
    <xf numFmtId="0" fontId="0" fillId="4" borderId="26" xfId="0" applyFill="1" applyBorder="1"/>
    <xf numFmtId="2" fontId="0" fillId="0" borderId="32" xfId="0" applyNumberFormat="1" applyBorder="1"/>
    <xf numFmtId="0" fontId="0" fillId="0" borderId="31" xfId="0" applyBorder="1"/>
    <xf numFmtId="1" fontId="1" fillId="5" borderId="10" xfId="0" applyNumberFormat="1" applyFont="1" applyFill="1" applyBorder="1" applyAlignment="1">
      <alignment horizontal="center"/>
    </xf>
    <xf numFmtId="2" fontId="0" fillId="5" borderId="8" xfId="0" applyNumberFormat="1" applyFill="1" applyBorder="1"/>
    <xf numFmtId="2" fontId="0" fillId="5" borderId="20" xfId="0" applyNumberFormat="1" applyFill="1" applyBorder="1"/>
    <xf numFmtId="2" fontId="0" fillId="5" borderId="31" xfId="0" applyNumberFormat="1" applyFill="1" applyBorder="1"/>
    <xf numFmtId="0" fontId="0" fillId="5" borderId="30" xfId="0" applyFill="1" applyBorder="1"/>
    <xf numFmtId="0" fontId="0" fillId="5" borderId="9" xfId="0" applyFill="1" applyBorder="1"/>
    <xf numFmtId="16" fontId="0" fillId="2" borderId="31" xfId="0" applyNumberFormat="1" applyFill="1" applyBorder="1" applyAlignment="1">
      <alignment horizontal="center" vertical="center"/>
    </xf>
    <xf numFmtId="16" fontId="0" fillId="2" borderId="26" xfId="0" applyNumberFormat="1" applyFill="1" applyBorder="1"/>
    <xf numFmtId="16" fontId="0" fillId="2" borderId="0" xfId="0" applyNumberFormat="1" applyFill="1"/>
    <xf numFmtId="0" fontId="0" fillId="4" borderId="0" xfId="0" applyFill="1"/>
    <xf numFmtId="0" fontId="0" fillId="0" borderId="28" xfId="0" applyBorder="1"/>
    <xf numFmtId="0" fontId="0" fillId="0" borderId="24" xfId="0" applyBorder="1"/>
    <xf numFmtId="0" fontId="0" fillId="4" borderId="2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tabSelected="1" topLeftCell="W1" workbookViewId="0">
      <selection activeCell="AM6" sqref="AM6"/>
    </sheetView>
  </sheetViews>
  <sheetFormatPr baseColWidth="10" defaultColWidth="8.83203125" defaultRowHeight="15" x14ac:dyDescent="0.2"/>
  <cols>
    <col min="1" max="1" width="18.6640625" bestFit="1" customWidth="1"/>
    <col min="3" max="3" width="20" customWidth="1"/>
    <col min="4" max="4" width="9.1640625" customWidth="1"/>
    <col min="5" max="5" width="9.5" customWidth="1"/>
    <col min="9" max="9" width="12.33203125" bestFit="1" customWidth="1"/>
    <col min="25" max="25" width="9.6640625" bestFit="1" customWidth="1"/>
  </cols>
  <sheetData>
    <row r="1" spans="1:39" ht="33" thickBot="1" x14ac:dyDescent="0.25">
      <c r="A1" s="8" t="s">
        <v>0</v>
      </c>
      <c r="B1" s="11" t="s">
        <v>1</v>
      </c>
      <c r="C1" s="14" t="s">
        <v>8</v>
      </c>
      <c r="D1" s="17">
        <v>45586</v>
      </c>
      <c r="E1" s="19" t="s">
        <v>2</v>
      </c>
      <c r="F1" s="7">
        <v>45617</v>
      </c>
      <c r="G1" s="4" t="s">
        <v>2</v>
      </c>
      <c r="H1" s="7">
        <v>45647</v>
      </c>
      <c r="I1" s="4" t="s">
        <v>2</v>
      </c>
      <c r="J1" s="7">
        <v>45678</v>
      </c>
      <c r="K1" s="4" t="s">
        <v>2</v>
      </c>
      <c r="L1" s="7">
        <v>45709</v>
      </c>
      <c r="M1" s="4" t="s">
        <v>2</v>
      </c>
      <c r="N1" s="7">
        <v>45737</v>
      </c>
      <c r="O1" s="4" t="s">
        <v>2</v>
      </c>
      <c r="P1" s="7">
        <v>45768</v>
      </c>
      <c r="Q1" s="4" t="s">
        <v>2</v>
      </c>
      <c r="R1" s="46">
        <v>45798</v>
      </c>
      <c r="S1" s="47" t="s">
        <v>2</v>
      </c>
      <c r="T1" s="48">
        <v>45829</v>
      </c>
      <c r="U1" s="49" t="s">
        <v>2</v>
      </c>
      <c r="V1" s="48">
        <v>45859</v>
      </c>
      <c r="W1" s="49" t="s">
        <v>2</v>
      </c>
      <c r="X1" s="48">
        <v>45893</v>
      </c>
      <c r="Y1" s="49" t="s">
        <v>2</v>
      </c>
      <c r="Z1" s="48">
        <v>45921</v>
      </c>
      <c r="AA1" s="49" t="s">
        <v>2</v>
      </c>
      <c r="AB1" s="60">
        <v>45951</v>
      </c>
      <c r="AC1" s="49" t="s">
        <v>2</v>
      </c>
      <c r="AD1" s="61">
        <v>45982</v>
      </c>
      <c r="AE1" s="41" t="s">
        <v>2</v>
      </c>
      <c r="AF1" s="62">
        <v>46012</v>
      </c>
      <c r="AG1" t="s">
        <v>2</v>
      </c>
      <c r="AH1" s="62">
        <v>46043</v>
      </c>
      <c r="AI1" t="s">
        <v>2</v>
      </c>
      <c r="AJ1" s="62">
        <v>46074</v>
      </c>
      <c r="AK1" t="s">
        <v>2</v>
      </c>
      <c r="AL1" s="62">
        <v>46102</v>
      </c>
      <c r="AM1" t="s">
        <v>2</v>
      </c>
    </row>
    <row r="2" spans="1:39" x14ac:dyDescent="0.2">
      <c r="A2" s="9" t="s">
        <v>3</v>
      </c>
      <c r="B2" s="12">
        <v>272.14</v>
      </c>
      <c r="C2" s="15">
        <v>1</v>
      </c>
      <c r="D2" s="33">
        <v>4</v>
      </c>
      <c r="E2" s="20">
        <f>(D2-C2)*B2</f>
        <v>816.42</v>
      </c>
      <c r="F2" s="30">
        <v>6</v>
      </c>
      <c r="G2" s="2">
        <f>(F2-D2)*B2</f>
        <v>544.28</v>
      </c>
      <c r="H2" s="30">
        <v>8</v>
      </c>
      <c r="I2" s="2">
        <f>(H2-F2)*B2</f>
        <v>544.28</v>
      </c>
      <c r="J2" s="30">
        <v>10</v>
      </c>
      <c r="K2" s="2">
        <f>(J2-H2)*B2</f>
        <v>544.28</v>
      </c>
      <c r="L2" s="30">
        <v>13</v>
      </c>
      <c r="M2" s="2">
        <f>(L2-J2)*B2</f>
        <v>816.42</v>
      </c>
      <c r="N2" s="30">
        <v>15</v>
      </c>
      <c r="O2" s="2">
        <f>(N2-L2)*B2</f>
        <v>544.28</v>
      </c>
      <c r="P2" s="30">
        <v>17</v>
      </c>
      <c r="Q2" s="36">
        <f>(P2-N2)*B2</f>
        <v>544.28</v>
      </c>
      <c r="R2" s="43">
        <v>19</v>
      </c>
      <c r="S2" s="44">
        <f>(R2-P2)*B2</f>
        <v>544.28</v>
      </c>
      <c r="T2" s="43">
        <v>22</v>
      </c>
      <c r="U2" s="45">
        <f>(T2-R2)*B2</f>
        <v>816.42</v>
      </c>
      <c r="V2" s="43">
        <v>23</v>
      </c>
      <c r="W2" s="45">
        <f>(V2-T2)*B$2</f>
        <v>272.14</v>
      </c>
      <c r="X2" s="43">
        <v>25</v>
      </c>
      <c r="Y2" s="45">
        <f>(X2-V2)*B$2</f>
        <v>544.28</v>
      </c>
      <c r="Z2" s="43">
        <v>27</v>
      </c>
      <c r="AA2" s="45">
        <f>(Z2-X2)*$B$2</f>
        <v>544.28</v>
      </c>
      <c r="AB2" s="43">
        <v>30</v>
      </c>
      <c r="AC2" s="45">
        <f>(AB2-Z2)*$B$2</f>
        <v>816.42</v>
      </c>
      <c r="AD2" s="43">
        <v>32</v>
      </c>
      <c r="AE2" s="45">
        <f>(AD2-AB2)*$B$2</f>
        <v>544.28</v>
      </c>
      <c r="AF2" s="43">
        <v>34</v>
      </c>
      <c r="AG2" s="45">
        <f>(AF2-AD2)*$B$2</f>
        <v>544.28</v>
      </c>
      <c r="AH2" s="43">
        <v>37</v>
      </c>
      <c r="AI2" s="45">
        <f>(AH2-AF2)*$B$2</f>
        <v>816.42</v>
      </c>
      <c r="AJ2" s="63">
        <v>40</v>
      </c>
      <c r="AK2" s="64">
        <f>(AJ2-AH2)*$B$2</f>
        <v>816.42</v>
      </c>
      <c r="AL2" s="66">
        <v>42</v>
      </c>
      <c r="AM2" s="64">
        <f>(AL2-AJ2)*$B$2</f>
        <v>544.28</v>
      </c>
    </row>
    <row r="3" spans="1:39" x14ac:dyDescent="0.2">
      <c r="A3" s="10" t="s">
        <v>4</v>
      </c>
      <c r="B3" s="13">
        <v>59.8</v>
      </c>
      <c r="C3" s="16">
        <v>2</v>
      </c>
      <c r="D3" s="34">
        <v>11</v>
      </c>
      <c r="E3" s="21">
        <f>(D3-C3)*B3</f>
        <v>538.19999999999993</v>
      </c>
      <c r="F3" s="31">
        <v>16</v>
      </c>
      <c r="G3" s="3">
        <f>(F3-D3)*B3</f>
        <v>299</v>
      </c>
      <c r="H3" s="31">
        <v>21</v>
      </c>
      <c r="I3" s="3">
        <f>(H3-F3)*B3</f>
        <v>299</v>
      </c>
      <c r="J3" s="31">
        <v>25</v>
      </c>
      <c r="K3" s="3">
        <f>(J3-H3)*B3</f>
        <v>239.2</v>
      </c>
      <c r="L3" s="31">
        <v>29</v>
      </c>
      <c r="M3" s="3">
        <f>(L3-J3)*B3</f>
        <v>239.2</v>
      </c>
      <c r="N3" s="31">
        <v>34</v>
      </c>
      <c r="O3" s="3">
        <f>(N3-L3)*B3</f>
        <v>299</v>
      </c>
      <c r="P3" s="31">
        <v>39</v>
      </c>
      <c r="Q3" s="37">
        <f>(P3-N3)*B3</f>
        <v>299</v>
      </c>
      <c r="R3" s="40">
        <v>44</v>
      </c>
      <c r="S3" s="37">
        <f>(R3-P3)*B3</f>
        <v>299</v>
      </c>
      <c r="T3" s="40">
        <v>50</v>
      </c>
      <c r="U3" s="42">
        <f>(T3-R3)*B3</f>
        <v>358.79999999999995</v>
      </c>
      <c r="V3" s="40">
        <v>60</v>
      </c>
      <c r="W3" s="42">
        <f>(V3-T3)*B$3</f>
        <v>598</v>
      </c>
      <c r="X3" s="40">
        <v>66</v>
      </c>
      <c r="Y3" s="42">
        <f>(X3-V3)*B$3</f>
        <v>358.79999999999995</v>
      </c>
      <c r="Z3" s="40">
        <v>72</v>
      </c>
      <c r="AA3" s="42">
        <f>(Z3-X3)*$B$3</f>
        <v>358.79999999999995</v>
      </c>
      <c r="AB3" s="40">
        <v>77</v>
      </c>
      <c r="AC3" s="42">
        <f>(AB3-Z3)*$B$3</f>
        <v>299</v>
      </c>
      <c r="AD3" s="40">
        <v>82</v>
      </c>
      <c r="AE3" s="42">
        <f>(AD3-AB3)*$B$3</f>
        <v>299</v>
      </c>
      <c r="AF3" s="40">
        <v>88</v>
      </c>
      <c r="AG3" s="42">
        <f>(AF3-AD3)*$B$3</f>
        <v>358.79999999999995</v>
      </c>
      <c r="AH3" s="40">
        <v>92</v>
      </c>
      <c r="AI3" s="42">
        <f>(AH3-AF3)*$B$3</f>
        <v>239.2</v>
      </c>
      <c r="AJ3" s="63">
        <v>98</v>
      </c>
      <c r="AK3" s="65">
        <f>(AJ3-AH3)*$B$3</f>
        <v>358.79999999999995</v>
      </c>
      <c r="AL3" s="66">
        <v>103</v>
      </c>
      <c r="AM3" s="65">
        <f>(AL3-AJ3)*$B$3</f>
        <v>299</v>
      </c>
    </row>
    <row r="4" spans="1:39" x14ac:dyDescent="0.2">
      <c r="A4" s="10" t="s">
        <v>5</v>
      </c>
      <c r="B4" s="13">
        <v>45.91</v>
      </c>
      <c r="C4" s="16"/>
      <c r="D4" s="18">
        <f>(D2-C2)+(D3-C3)</f>
        <v>12</v>
      </c>
      <c r="E4" s="22">
        <f>D4*B4</f>
        <v>550.91999999999996</v>
      </c>
      <c r="F4" s="1">
        <f>F3+F2-D2-D3</f>
        <v>7</v>
      </c>
      <c r="G4" s="3">
        <f>F4*B4</f>
        <v>321.37</v>
      </c>
      <c r="H4" s="1">
        <f>(H2-F2)+(H3-F3)</f>
        <v>7</v>
      </c>
      <c r="I4" s="3">
        <f>H4*B4</f>
        <v>321.37</v>
      </c>
      <c r="J4" s="1">
        <f>(J2-H2)+(J3-H3)</f>
        <v>6</v>
      </c>
      <c r="K4" s="3">
        <f>J4*B4</f>
        <v>275.45999999999998</v>
      </c>
      <c r="L4" s="1">
        <f>(L2-J2)+(L3-J3)</f>
        <v>7</v>
      </c>
      <c r="M4" s="3">
        <f>L4*B4</f>
        <v>321.37</v>
      </c>
      <c r="N4" s="1">
        <f>(N2-L2)+(N3-L3)</f>
        <v>7</v>
      </c>
      <c r="O4" s="3">
        <f>N4*B4</f>
        <v>321.37</v>
      </c>
      <c r="P4" s="1">
        <f>(P2-N2)+(P3-N3)</f>
        <v>7</v>
      </c>
      <c r="Q4" s="37">
        <f>P4*B4</f>
        <v>321.37</v>
      </c>
      <c r="R4" s="39">
        <f>(R2-P2)+(R3-P3)</f>
        <v>7</v>
      </c>
      <c r="S4" s="37">
        <f>R4*B4</f>
        <v>321.37</v>
      </c>
      <c r="T4" s="42">
        <f>(T2-R2)+(T3-R3)</f>
        <v>9</v>
      </c>
      <c r="U4" s="42">
        <f>T4*B4</f>
        <v>413.18999999999994</v>
      </c>
      <c r="V4" s="42">
        <f>(V2-T2)+(V3-T3)</f>
        <v>11</v>
      </c>
      <c r="W4" s="42">
        <f>V4*B$4</f>
        <v>505.01</v>
      </c>
      <c r="X4" s="42">
        <f>(X2-V2)+(X3-V3)</f>
        <v>8</v>
      </c>
      <c r="Y4" s="42">
        <f>X4*B$4</f>
        <v>367.28</v>
      </c>
      <c r="Z4" s="42">
        <f>(Z2-X2)+(Z3-X3)</f>
        <v>8</v>
      </c>
      <c r="AA4" s="42">
        <f>Z4*$B$4</f>
        <v>367.28</v>
      </c>
      <c r="AB4" s="42">
        <f>(AB2-Z2)+(AB3-Z3)</f>
        <v>8</v>
      </c>
      <c r="AC4" s="42">
        <f>AB4*$B$4</f>
        <v>367.28</v>
      </c>
      <c r="AD4" s="42">
        <f>(AD2-AB2)+(AD3-AB3)</f>
        <v>7</v>
      </c>
      <c r="AE4" s="42">
        <f>AD4*$B$4</f>
        <v>321.37</v>
      </c>
      <c r="AF4" s="42">
        <f>(AF2-AD2)+(AF3-AD3)</f>
        <v>8</v>
      </c>
      <c r="AG4" s="42">
        <f>AF4*$B$4</f>
        <v>367.28</v>
      </c>
      <c r="AH4" s="42">
        <f>(AH2-AF2)+(AH3-AF3)</f>
        <v>7</v>
      </c>
      <c r="AI4" s="42">
        <f>AH4*$B$4</f>
        <v>321.37</v>
      </c>
      <c r="AJ4" s="42">
        <f>(AJ2-AH2)+(AJ3-AH3)</f>
        <v>9</v>
      </c>
      <c r="AK4" s="65">
        <f>AJ4*$B$4</f>
        <v>413.18999999999994</v>
      </c>
      <c r="AL4" s="42">
        <f>(AL2-AJ2)+(AL3-AJ3)</f>
        <v>7</v>
      </c>
      <c r="AM4" s="65">
        <f>AL4*$B$4</f>
        <v>321.37</v>
      </c>
    </row>
    <row r="5" spans="1:39" ht="16" thickBot="1" x14ac:dyDescent="0.25">
      <c r="A5" s="23" t="s">
        <v>6</v>
      </c>
      <c r="B5" s="24">
        <v>6.15</v>
      </c>
      <c r="C5" s="25">
        <v>2922</v>
      </c>
      <c r="D5" s="35">
        <v>3196</v>
      </c>
      <c r="E5" s="26">
        <f>(D5-C5)*B5</f>
        <v>1685.1000000000001</v>
      </c>
      <c r="F5" s="32">
        <v>3340</v>
      </c>
      <c r="G5" s="27">
        <f>(F5-D5)*B5</f>
        <v>885.6</v>
      </c>
      <c r="H5" s="32">
        <v>3498</v>
      </c>
      <c r="I5" s="27">
        <f>(H5-F5)*B5</f>
        <v>971.7</v>
      </c>
      <c r="J5" s="32">
        <v>3639</v>
      </c>
      <c r="K5" s="27">
        <f>(J5-H5)*B5</f>
        <v>867.15000000000009</v>
      </c>
      <c r="L5" s="32">
        <v>3803</v>
      </c>
      <c r="M5" s="27">
        <f>(L5-J5)*B5</f>
        <v>1008.6</v>
      </c>
      <c r="N5" s="32">
        <v>3959</v>
      </c>
      <c r="O5" s="27">
        <f>(N5-L5)*B5</f>
        <v>959.40000000000009</v>
      </c>
      <c r="P5" s="32">
        <v>4099</v>
      </c>
      <c r="Q5" s="38">
        <f>(P5-N5)*B5</f>
        <v>861</v>
      </c>
      <c r="R5" s="51">
        <v>4247</v>
      </c>
      <c r="S5" s="52">
        <f>(R5-P5)*B5</f>
        <v>910.2</v>
      </c>
      <c r="T5" s="51">
        <v>4466</v>
      </c>
      <c r="U5" s="41">
        <f>(T5-R5)*B5</f>
        <v>1346.8500000000001</v>
      </c>
      <c r="V5" s="51">
        <v>4618</v>
      </c>
      <c r="W5" s="41">
        <f>(V5-T5)*B$5</f>
        <v>934.80000000000007</v>
      </c>
      <c r="X5" s="40">
        <v>4773</v>
      </c>
      <c r="Y5" s="42">
        <f>(X5-V5)*B$5</f>
        <v>953.25</v>
      </c>
      <c r="Z5" s="40">
        <v>4899</v>
      </c>
      <c r="AA5" s="42">
        <f>(Z5-X5)*$B$5</f>
        <v>774.90000000000009</v>
      </c>
      <c r="AB5" s="40">
        <v>5041</v>
      </c>
      <c r="AC5" s="42">
        <f>(AB5-Z5)*$B$5</f>
        <v>873.30000000000007</v>
      </c>
      <c r="AD5" s="40">
        <v>5186</v>
      </c>
      <c r="AE5" s="42">
        <f>(AD5-AB5)*$B$5</f>
        <v>891.75</v>
      </c>
      <c r="AF5" s="40">
        <v>5345</v>
      </c>
      <c r="AG5" s="42">
        <f>(AF5-AD5)*$B$5</f>
        <v>977.85</v>
      </c>
      <c r="AH5" s="40">
        <v>5486</v>
      </c>
      <c r="AI5" s="42">
        <f>(AH5-AF5)*$B$5</f>
        <v>867.15000000000009</v>
      </c>
      <c r="AJ5" s="63">
        <v>5686</v>
      </c>
      <c r="AK5" s="65">
        <f>(AJ5-AH5)*$B$5</f>
        <v>1230</v>
      </c>
      <c r="AL5" s="40">
        <v>5825</v>
      </c>
      <c r="AM5" s="65">
        <f>(AL5-AJ5)*$B$5</f>
        <v>854.85</v>
      </c>
    </row>
    <row r="6" spans="1:39" ht="16" thickBot="1" x14ac:dyDescent="0.25">
      <c r="A6" s="5" t="s">
        <v>7</v>
      </c>
      <c r="B6" s="6"/>
      <c r="C6" s="6"/>
      <c r="D6" s="28"/>
      <c r="E6" s="54">
        <f>SUM(E2:E5)</f>
        <v>3590.6400000000003</v>
      </c>
      <c r="F6" s="29"/>
      <c r="G6" s="55">
        <f>SUM(G2:G5)</f>
        <v>2050.25</v>
      </c>
      <c r="H6" s="29"/>
      <c r="I6" s="55">
        <f>SUM(I2:I5)</f>
        <v>2136.3500000000004</v>
      </c>
      <c r="J6" s="29"/>
      <c r="K6" s="55">
        <f>SUM(K2:K5)</f>
        <v>1926.0900000000001</v>
      </c>
      <c r="L6" s="29"/>
      <c r="M6" s="55">
        <f>SUM(M2:M5)</f>
        <v>2385.5899999999997</v>
      </c>
      <c r="N6" s="29"/>
      <c r="O6" s="55">
        <f>SUM(O2:O5)</f>
        <v>2124.0500000000002</v>
      </c>
      <c r="P6" s="29"/>
      <c r="Q6" s="56">
        <f>SUM(Q2:Q5)</f>
        <v>2025.65</v>
      </c>
      <c r="R6" s="50"/>
      <c r="S6" s="57">
        <f>SUM(S2:S5)</f>
        <v>2074.8500000000004</v>
      </c>
      <c r="T6" s="50"/>
      <c r="U6" s="58">
        <f>SUM(U2:U5)</f>
        <v>2935.26</v>
      </c>
      <c r="V6" s="28"/>
      <c r="W6" s="59">
        <f>SUM(W2:W5)</f>
        <v>2309.9500000000003</v>
      </c>
      <c r="X6" s="53"/>
      <c r="Y6" s="58">
        <f>SUM(Y2:Y5)</f>
        <v>2223.6099999999997</v>
      </c>
      <c r="Z6" s="53"/>
      <c r="AA6" s="58">
        <f>SUM(AA2:AA5)</f>
        <v>2045.26</v>
      </c>
      <c r="AB6" s="50"/>
      <c r="AC6" s="58">
        <f>SUM(AC2:AC5)</f>
        <v>2356</v>
      </c>
      <c r="AD6" s="41"/>
      <c r="AE6" s="58">
        <f>SUM(AE2:AE5)</f>
        <v>2056.4</v>
      </c>
      <c r="AF6" s="41"/>
      <c r="AG6" s="58">
        <f>SUM(AG2:AG5)</f>
        <v>2248.21</v>
      </c>
      <c r="AH6" s="41"/>
      <c r="AI6" s="58">
        <f>SUM(AI2:AI5)</f>
        <v>2244.14</v>
      </c>
      <c r="AK6" s="58">
        <f>SUM(AK2:AK5)</f>
        <v>2818.41</v>
      </c>
      <c r="AL6" s="53"/>
      <c r="AM6" s="58">
        <f>SUM(AM2:AM5)</f>
        <v>2019.5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Кира Макарова</cp:lastModifiedBy>
  <dcterms:created xsi:type="dcterms:W3CDTF">2023-06-05T13:38:17Z</dcterms:created>
  <dcterms:modified xsi:type="dcterms:W3CDTF">2026-03-30T09:15:43Z</dcterms:modified>
</cp:coreProperties>
</file>